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채널 컨셉" sheetId="1" state="visible" r:id="rId1"/>
    <sheet name="첫 영상 구성" sheetId="2" state="visible" r:id="rId2"/>
    <sheet name="10억 계산기" sheetId="3" state="visible" r:id="rId3"/>
    <sheet name="4% 룰 근거" sheetId="4" state="visible" r:id="rId4"/>
    <sheet name="주의사항" sheetId="5" state="visible" r:id="rId5"/>
    <sheet name="영상 주제 10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</font>
    <font>
      <name val="Arial"/>
      <color rgb="000000FF"/>
    </font>
    <font>
      <name val="Arial"/>
      <color rgb="00595959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1" pivotButton="0" quotePrefix="0" xfId="0"/>
    <xf numFmtId="3" fontId="6" fillId="3" borderId="1" pivotButton="0" quotePrefix="0" xfId="0"/>
    <xf numFmtId="0" fontId="7" fillId="0" borderId="0" pivotButton="0" quotePrefix="0" xfId="0"/>
    <xf numFmtId="164" fontId="6" fillId="3" borderId="1" pivotButton="0" quotePrefix="0" xfId="0"/>
    <xf numFmtId="3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166" fontId="3" fillId="0" borderId="1" pivotButton="0" quotePrefix="0" xfId="0"/>
    <xf numFmtId="164" fontId="3" fillId="0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50" customWidth="1" min="3" max="3"/>
  </cols>
  <sheetData>
    <row r="1">
      <c r="A1" s="1" t="inlineStr">
        <is>
          <t>채널 컨셉 &amp; 포지셔닝</t>
        </is>
      </c>
    </row>
    <row r="3">
      <c r="A3" s="2" t="inlineStr">
        <is>
          <t>항목</t>
        </is>
      </c>
      <c r="B3" s="2" t="inlineStr">
        <is>
          <t>내용</t>
        </is>
      </c>
      <c r="C3" s="2" t="inlineStr">
        <is>
          <t>메모</t>
        </is>
      </c>
    </row>
    <row r="4">
      <c r="A4" s="3" t="inlineStr">
        <is>
          <t>주제</t>
        </is>
      </c>
      <c r="B4" s="3" t="inlineStr">
        <is>
          <t>경제 · 금융 · 재테크</t>
        </is>
      </c>
      <c r="C4" s="3" t="inlineStr"/>
    </row>
    <row r="5">
      <c r="A5" s="3" t="inlineStr">
        <is>
          <t>타깃</t>
        </is>
      </c>
      <c r="B5" s="3" t="inlineStr">
        <is>
          <t>20~30대 경제/돈 모으기에 관심 있는 여성</t>
        </is>
      </c>
      <c r="C5" s="3" t="inlineStr"/>
    </row>
    <row r="6">
      <c r="A6" s="3" t="inlineStr">
        <is>
          <t>후킹 키워드(나)</t>
        </is>
      </c>
      <c r="B6" s="3" t="inlineStr">
        <is>
          <t>98년생 · 20대 후반 · 순자산 1억 · 재테크 · 짠테크 · 주식/ETF 투자 · 스타트업 마케터 · N잡러 · 부업 · 153cm · 자취생 · ISTP</t>
        </is>
      </c>
      <c r="C6" s="3" t="inlineStr">
        <is>
          <t>키워드 중 영상마다 2~3개씩 골라 훅에 사용</t>
        </is>
      </c>
    </row>
    <row r="7">
      <c r="A7" s="3" t="inlineStr">
        <is>
          <t>채널 목표(추천)</t>
        </is>
      </c>
      <c r="B7" s="3" t="inlineStr">
        <is>
          <t>"쥐꼬리 월급으로 30대에 10억 만드는 중. 과정 전부 공개합니다"</t>
        </is>
      </c>
      <c r="C7" s="3" t="inlineStr">
        <is>
          <t>10억은 '된다'가 아니라 '도전 중'으로 표현</t>
        </is>
      </c>
    </row>
    <row r="8">
      <c r="A8" s="3" t="inlineStr">
        <is>
          <t>채널 역할</t>
        </is>
      </c>
      <c r="B8" s="3" t="inlineStr">
        <is>
          <t>경제 모르는 20대에게 '먼저 겪고 알려주는 사람'</t>
        </is>
      </c>
      <c r="C8" s="3" t="inlineStr">
        <is>
          <t>3번(알려주기)은 목표가 아닌 역할</t>
        </is>
      </c>
    </row>
    <row r="9">
      <c r="A9" s="3" t="inlineStr">
        <is>
          <t>경제적 자유</t>
        </is>
      </c>
      <c r="B9" s="3" t="inlineStr">
        <is>
          <t>10억의 최종 이유로 한 줄만 언급</t>
        </is>
      </c>
      <c r="C9" s="3" t="inlineStr">
        <is>
          <t>'회사를 선택해서 다닐 수 있는 상태'로 정의</t>
        </is>
      </c>
    </row>
    <row r="10">
      <c r="A10" s="3" t="inlineStr">
        <is>
          <t>2단계 떡밥</t>
        </is>
      </c>
      <c r="B10" s="3" t="inlineStr">
        <is>
          <t>건물 세우기</t>
        </is>
      </c>
      <c r="C10" s="3" t="inlineStr">
        <is>
          <t>10억 달성 후 공개용으로 아껴두기</t>
        </is>
      </c>
    </row>
    <row r="11">
      <c r="A11" s="3" t="inlineStr">
        <is>
          <t>톤앤매너</t>
        </is>
      </c>
      <c r="B11" s="3" t="inlineStr">
        <is>
          <t>어려운 얘기 대신 숫자로 보여주기 / 솔직·정직 / 종목 추천 X, 내 투자 기록 공유</t>
        </is>
      </c>
      <c r="C11" s="3" t="inlineStr">
        <is>
          <t>출처와 내 기준을 함께 말하기</t>
        </is>
      </c>
    </row>
    <row r="13">
      <c r="A13" s="4" t="inlineStr">
        <is>
          <t>왜 이 조합인가</t>
        </is>
      </c>
    </row>
    <row r="14">
      <c r="A14" s="2" t="inlineStr">
        <is>
          <t>이유</t>
        </is>
      </c>
      <c r="B14" s="2" t="inlineStr">
        <is>
          <t>설명</t>
        </is>
      </c>
      <c r="C14" s="2" t="inlineStr"/>
    </row>
    <row r="15">
      <c r="A15" s="3" t="inlineStr">
        <is>
          <t>쥐코노미와 찰떡</t>
        </is>
      </c>
      <c r="B15" s="3" t="inlineStr">
        <is>
          <t>'쥐꼬리 월급'이 채널명과 이어져 기억에 남음</t>
        </is>
      </c>
      <c r="C15" s="3" t="inlineStr"/>
    </row>
    <row r="16">
      <c r="A16" s="3" t="inlineStr">
        <is>
          <t>측정 가능</t>
        </is>
      </c>
      <c r="B16" s="3" t="inlineStr">
        <is>
          <t>10억은 숫자 → 순자산 업데이트가 그대로 시리즈 (1억→2억→…)</t>
        </is>
      </c>
      <c r="C16" s="3" t="inlineStr"/>
    </row>
    <row r="17">
      <c r="A17" s="3" t="inlineStr">
        <is>
          <t>따라 하기 쉬움</t>
        </is>
      </c>
      <c r="B17" s="3" t="inlineStr">
        <is>
          <t>건물은 멀지만 '월급 쪼개서 10억'은 내 얘기처럼 느껴짐</t>
        </is>
      </c>
      <c r="C17" s="3" t="inlineStr"/>
    </row>
    <row r="18">
      <c r="A18" s="3" t="inlineStr">
        <is>
          <t>서사 선명</t>
        </is>
      </c>
      <c r="B18" s="3" t="inlineStr">
        <is>
          <t>스타트업 마케터 → 짠테크 → 투자 → 부업</t>
        </is>
      </c>
      <c r="C1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40" customWidth="1" min="4" max="4"/>
  </cols>
  <sheetData>
    <row r="1">
      <c r="A1" s="1" t="inlineStr">
        <is>
          <t>첫 영상 구성 (서사 + 정체성 + 목표)</t>
        </is>
      </c>
    </row>
    <row r="3">
      <c r="A3" s="2" t="inlineStr">
        <is>
          <t>순서</t>
        </is>
      </c>
      <c r="B3" s="2" t="inlineStr">
        <is>
          <t>파트</t>
        </is>
      </c>
      <c r="C3" s="2" t="inlineStr">
        <is>
          <t>내용</t>
        </is>
      </c>
      <c r="D3" s="2" t="inlineStr">
        <is>
          <t>메모</t>
        </is>
      </c>
    </row>
    <row r="4">
      <c r="A4" s="3" t="n">
        <v>1</v>
      </c>
      <c r="B4" s="3" t="inlineStr">
        <is>
          <t>훅</t>
        </is>
      </c>
      <c r="C4" s="3" t="inlineStr">
        <is>
          <t>"98년생 자취생, 순자산 1억 찍었습니다"</t>
        </is>
      </c>
      <c r="D4" s="3" t="inlineStr"/>
    </row>
    <row r="5">
      <c r="A5" s="3" t="n">
        <v>2</v>
      </c>
      <c r="B5" s="3" t="inlineStr">
        <is>
          <t>서사</t>
        </is>
      </c>
      <c r="C5" s="3" t="inlineStr">
        <is>
          <t>어떻게 모았는지 (월급 쪼개기, 짠테크, 투자, 부업)</t>
        </is>
      </c>
      <c r="D5" s="3" t="inlineStr"/>
    </row>
    <row r="6">
      <c r="A6" s="3" t="n">
        <v>3</v>
      </c>
      <c r="B6" s="3" t="inlineStr">
        <is>
          <t>정체성</t>
        </is>
      </c>
      <c r="C6" s="3" t="inlineStr">
        <is>
          <t>"저는 어려운 얘기 대신 숫자로 보여줘요"</t>
        </is>
      </c>
      <c r="D6" s="3" t="inlineStr"/>
    </row>
    <row r="7">
      <c r="A7" s="3" t="n">
        <v>4</v>
      </c>
      <c r="B7" s="3" t="inlineStr">
        <is>
          <t>목표 선언</t>
        </is>
      </c>
      <c r="C7" s="3" t="inlineStr">
        <is>
          <t>"30대에 10억, 여기서 다 공개할게요"</t>
        </is>
      </c>
      <c r="D7" s="3" t="inlineStr">
        <is>
          <t>'도전 중' 톤 유지</t>
        </is>
      </c>
    </row>
    <row r="8">
      <c r="A8" s="3" t="n">
        <v>5</v>
      </c>
      <c r="B8" s="3" t="inlineStr">
        <is>
          <t>참여 유도</t>
        </is>
      </c>
      <c r="C8" s="3" t="inlineStr">
        <is>
          <t>"같이 할 사람은 팔로우, 월급 쪼개기 사이트도 곧 공개"</t>
        </is>
      </c>
      <c r="D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50" customWidth="1" min="4" max="4"/>
  </cols>
  <sheetData>
    <row r="1">
      <c r="A1" s="1" t="inlineStr">
        <is>
          <t>왜 10억인가? 목표금액 계산기 (단위: 만원)</t>
        </is>
      </c>
    </row>
    <row r="2">
      <c r="A2" s="5" t="inlineStr">
        <is>
          <t>파란 글자 + 노란 칸이 직접 수정하는 입력값입니다. 나머지는 자동 계산.</t>
        </is>
      </c>
    </row>
    <row r="4">
      <c r="A4" s="6" t="inlineStr">
        <is>
          <t>월 목표 생활비 (만원)</t>
        </is>
      </c>
      <c r="B4" s="7" t="n">
        <v>340</v>
      </c>
      <c r="D4" s="8" t="inlineStr">
        <is>
          <t>대화에서 정한 값. 현재 생활비 기준인지 희망 생활 수준인지 영상에서 언급 권장</t>
        </is>
      </c>
    </row>
    <row r="5">
      <c r="A5" s="6" t="inlineStr">
        <is>
          <t>인출률 - 기본(4% 룰)</t>
        </is>
      </c>
      <c r="B5" s="9" t="n">
        <v>0.04</v>
      </c>
      <c r="D5" s="8" t="inlineStr">
        <is>
          <t>Bengen(1994) 연구 기반</t>
        </is>
      </c>
    </row>
    <row r="6">
      <c r="A6" s="6" t="inlineStr">
        <is>
          <t>인출률 - 보수적</t>
        </is>
      </c>
      <c r="B6" s="9" t="n">
        <v>0.035</v>
      </c>
      <c r="D6" s="8" t="inlineStr">
        <is>
          <t>30대 은퇴는 기간이 길어 3~3.5% 사용하는 경우 많음</t>
        </is>
      </c>
    </row>
    <row r="7">
      <c r="A7" s="6" t="inlineStr">
        <is>
          <t>배당·이자소득세율</t>
        </is>
      </c>
      <c r="B7" s="9" t="n">
        <v>0.154</v>
      </c>
      <c r="D7" s="8" t="inlineStr">
        <is>
          <t>한국 기준 15.4%</t>
        </is>
      </c>
    </row>
    <row r="8">
      <c r="A8" s="6" t="inlineStr">
        <is>
          <t>현재 순자산 (만원)</t>
        </is>
      </c>
      <c r="B8" s="7" t="n">
        <v>10000</v>
      </c>
      <c r="D8" s="8" t="inlineStr">
        <is>
          <t>사용자 입력: 순자산 1억</t>
        </is>
      </c>
    </row>
    <row r="10">
      <c r="A10" s="2" t="inlineStr">
        <is>
          <t>시나리오</t>
        </is>
      </c>
      <c r="B10" s="2" t="inlineStr">
        <is>
          <t>필요 금액 (만원)</t>
        </is>
      </c>
      <c r="C10" s="2" t="inlineStr">
        <is>
          <t>필요 금액 (억)</t>
        </is>
      </c>
      <c r="D10" s="2" t="inlineStr">
        <is>
          <t>계산식</t>
        </is>
      </c>
    </row>
    <row r="11">
      <c r="A11" s="3" t="inlineStr">
        <is>
          <t>① 4% 룰 (단순)</t>
        </is>
      </c>
      <c r="B11" s="10">
        <f>B4*12/B5</f>
        <v/>
      </c>
      <c r="C11" s="11">
        <f>B11/10000</f>
        <v/>
      </c>
      <c r="D11" s="3" t="inlineStr">
        <is>
          <t>월 생활비×12 ÷ 인출률</t>
        </is>
      </c>
    </row>
    <row r="12">
      <c r="A12" s="3" t="inlineStr">
        <is>
          <t>② 3.5% (보수적)</t>
        </is>
      </c>
      <c r="B12" s="10">
        <f>B4*12/B6</f>
        <v/>
      </c>
      <c r="C12" s="11">
        <f>B12/10000</f>
        <v/>
      </c>
      <c r="D12" s="3" t="inlineStr">
        <is>
          <t>월 생활비×12 ÷ 3.5%</t>
        </is>
      </c>
    </row>
    <row r="13">
      <c r="A13" s="3" t="inlineStr">
        <is>
          <t>③ 3.5% + 세후 목표</t>
        </is>
      </c>
      <c r="B13" s="10">
        <f>B4*12/(1-B7)/B6</f>
        <v/>
      </c>
      <c r="C13" s="11">
        <f>B13/10000</f>
        <v/>
      </c>
      <c r="D13" s="3" t="inlineStr">
        <is>
          <t>세금 떼고도 월 생활비 확보</t>
        </is>
      </c>
    </row>
    <row r="14">
      <c r="A14" s="3" t="inlineStr">
        <is>
          <t>참고: 25배 법칙</t>
        </is>
      </c>
      <c r="B14" s="10">
        <f>B4*12*25</f>
        <v/>
      </c>
      <c r="C14" s="11">
        <f>B14/10000</f>
        <v/>
      </c>
      <c r="D14" s="3" t="inlineStr">
        <is>
          <t>연 생활비 × 25 (=1÷4%)</t>
        </is>
      </c>
    </row>
    <row r="15">
      <c r="A15" s="3" t="inlineStr">
        <is>
          <t>참고: 월 300 기준 (4%)</t>
        </is>
      </c>
      <c r="B15" s="10">
        <f>300*12/B5</f>
        <v/>
      </c>
      <c r="C15" s="11">
        <f>B15/10000</f>
        <v/>
      </c>
      <c r="D15" s="3" t="inlineStr">
        <is>
          <t>월 300 → 약 9억</t>
        </is>
      </c>
    </row>
    <row r="17">
      <c r="A17" s="4" t="inlineStr">
        <is>
          <t>10억 목표 점검</t>
        </is>
      </c>
    </row>
    <row r="18">
      <c r="A18" s="6" t="inlineStr">
        <is>
          <t>10억(만원)</t>
        </is>
      </c>
      <c r="B18" s="7" t="n">
        <v>100000</v>
      </c>
      <c r="D18" s="8" t="inlineStr">
        <is>
          <t>영상 목표 숫자 (입력값)</t>
        </is>
      </c>
    </row>
    <row r="19">
      <c r="A19" s="6" t="inlineStr">
        <is>
          <t>10억으로 가능한 월 현금흐름 (4%, 세전)</t>
        </is>
      </c>
      <c r="B19" s="12">
        <f>B18*B5/12</f>
        <v/>
      </c>
      <c r="D19" s="8" t="n"/>
    </row>
    <row r="20">
      <c r="A20" s="6" t="inlineStr">
        <is>
          <t>10억으로 가능한 월 현금흐름 (3.5%, 세전)</t>
        </is>
      </c>
      <c r="B20" s="12">
        <f>B18*B6/12</f>
        <v/>
      </c>
      <c r="D20" s="8" t="n"/>
    </row>
    <row r="21">
      <c r="A21" s="6" t="inlineStr">
        <is>
          <t>10억으로 가능한 월 현금흐름 (3.5%, 세후)</t>
        </is>
      </c>
      <c r="B21" s="12">
        <f>B18*B6*(1-B7)/12</f>
        <v/>
      </c>
      <c r="D21" s="8" t="n"/>
    </row>
    <row r="22">
      <c r="A22" s="6" t="inlineStr">
        <is>
          <t>현재 달성률</t>
        </is>
      </c>
      <c r="B22" s="13">
        <f>B8/B18</f>
        <v/>
      </c>
      <c r="D22" s="8" t="n"/>
    </row>
    <row r="24">
      <c r="A24" s="14" t="inlineStr">
        <is>
          <t>영상 멘트 예시: "월 340만원 = 연 4,080만원 ÷ 4% ≈ 10억. 세금·물가까지 넣으면 더 필요해서 10억은 1차 목표예요."</t>
        </is>
      </c>
    </row>
    <row r="25">
      <c r="A25" s="14" t="inlineStr">
        <is>
          <t>※ 4% 룰은 미국 시장 데이터 기반이며 한국 시장에 그대로 검증된 것은 아님. 정답이 아닌 기준점.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4% 룰: 출처와 한계</t>
        </is>
      </c>
    </row>
    <row r="3">
      <c r="A3" s="2" t="inlineStr">
        <is>
          <t>구분</t>
        </is>
      </c>
      <c r="B3" s="2" t="inlineStr">
        <is>
          <t>내용</t>
        </is>
      </c>
    </row>
    <row r="4">
      <c r="A4" s="3" t="inlineStr">
        <is>
          <t>1994 윌리엄 벤겐</t>
        </is>
      </c>
      <c r="B4" s="3" t="inlineStr">
        <is>
          <t>1926년 이후 미국 주식·채권 데이터로, 첫해 자산의 4%를 꺼내 쓰고 이후 물가만큼 늘려 써도 30년간 자산이 유지됨을 확인 (재무설계사)</t>
        </is>
      </c>
    </row>
    <row r="5">
      <c r="A5" s="3" t="inlineStr">
        <is>
          <t>1998 트리니티 대학 연구</t>
        </is>
      </c>
      <c r="B5" s="3" t="inlineStr">
        <is>
          <t>교수 3명이 유사 방식으로 검증 → '트리니티 스터디'</t>
        </is>
      </c>
    </row>
    <row r="6">
      <c r="A6" s="3" t="inlineStr">
        <is>
          <t>파이어(FIRE)족 확산</t>
        </is>
      </c>
      <c r="B6" s="3" t="inlineStr">
        <is>
          <t>'연 생활비의 25배(=1÷0.04)를 모으면 된다'는 공식으로 정착</t>
        </is>
      </c>
    </row>
    <row r="7">
      <c r="A7" s="3" t="inlineStr">
        <is>
          <t>한계 ①</t>
        </is>
      </c>
      <c r="B7" s="3" t="inlineStr">
        <is>
          <t>미국 시장 데이터. 한국 시장 검증 아님</t>
        </is>
      </c>
    </row>
    <row r="8">
      <c r="A8" s="3" t="inlineStr">
        <is>
          <t>한계 ②</t>
        </is>
      </c>
      <c r="B8" s="3" t="inlineStr">
        <is>
          <t>기간 30년 기준. 30대 은퇴는 더 길어 3~3.5%로 보수적으로 잡는 경우 많음</t>
        </is>
      </c>
    </row>
    <row r="9">
      <c r="A9" s="3" t="inlineStr">
        <is>
          <t>한계 ③</t>
        </is>
      </c>
      <c r="B9" s="3" t="inlineStr">
        <is>
          <t>세금·물가·수익률 변동은 별개로 고려 필요</t>
        </is>
      </c>
    </row>
    <row r="10">
      <c r="A10" s="3" t="inlineStr">
        <is>
          <t>영상 팁</t>
        </is>
      </c>
      <c r="B10" s="3" t="inlineStr">
        <is>
          <t>"미국 연구에서 나온 4% 룰, 저는 보수적으로 3.5%로 계산했어요" + "정답이 아니라 기준점"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0" customWidth="1" min="2" max="2"/>
  </cols>
  <sheetData>
    <row r="1">
      <c r="A1" s="1" t="inlineStr">
        <is>
          <t>콘텐츠 운영 시 주의사항</t>
        </is>
      </c>
    </row>
    <row r="3">
      <c r="A3" s="2" t="inlineStr">
        <is>
          <t>#</t>
        </is>
      </c>
      <c r="B3" s="2" t="inlineStr">
        <is>
          <t>내용</t>
        </is>
      </c>
    </row>
    <row r="4">
      <c r="A4" s="3" t="n">
        <v>1</v>
      </c>
      <c r="B4" s="3" t="inlineStr">
        <is>
          <t>10억은 '된다'가 아니라 '도전 중'으로 말하기 (결과 약속은 신뢰도 하락)</t>
        </is>
      </c>
    </row>
    <row r="5">
      <c r="A5" s="3" t="n">
        <v>2</v>
      </c>
      <c r="B5" s="3" t="inlineStr">
        <is>
          <t>주식·ETF는 종목 추천 말고 '내 투자 기록 공유'로</t>
        </is>
      </c>
    </row>
    <row r="6">
      <c r="A6" s="3" t="n">
        <v>3</v>
      </c>
      <c r="B6" s="3" t="inlineStr">
        <is>
          <t>'경제적 자유 = 일하기 싫어서'가 아니라 '회사를 선택해서 다닐 수 있는 상태'로 정의</t>
        </is>
      </c>
    </row>
    <row r="7">
      <c r="A7" s="3" t="n">
        <v>4</v>
      </c>
      <c r="B7" s="3" t="inlineStr">
        <is>
          <t>'10억이 정답은 아니고 내 기준의 숫자'라고 솔직히 말하기</t>
        </is>
      </c>
    </row>
    <row r="8">
      <c r="A8" s="3" t="n">
        <v>5</v>
      </c>
      <c r="B8" s="3" t="inlineStr">
        <is>
          <t>출처와 내 기준(예: 4% → 3.5%)을 함께 말하기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4" customWidth="1" min="3" max="3"/>
    <col width="30" customWidth="1" min="4" max="4"/>
    <col width="14" customWidth="1" min="5" max="5"/>
    <col width="14" customWidth="1" min="6" max="6"/>
  </cols>
  <sheetData>
    <row r="1">
      <c r="A1" s="1" t="inlineStr">
        <is>
          <t>영상 주제 기획표 (작성용)</t>
        </is>
      </c>
    </row>
    <row r="2">
      <c r="A2" s="5" t="inlineStr">
        <is>
          <t>아직 10건은 확정 전입니다. 1번은 대화에서 정한 첫 영상, 나머지는 빈칸을 채워주세요. (노란 칸 = 입력)</t>
        </is>
      </c>
    </row>
    <row r="3">
      <c r="A3" s="2" t="inlineStr">
        <is>
          <t>#</t>
        </is>
      </c>
      <c r="B3" s="2" t="inlineStr">
        <is>
          <t>제목(훅)</t>
        </is>
      </c>
      <c r="C3" s="2" t="inlineStr">
        <is>
          <t>핵심 내용</t>
        </is>
      </c>
      <c r="D3" s="2" t="inlineStr">
        <is>
          <t>사용 키워드</t>
        </is>
      </c>
      <c r="E3" s="2" t="inlineStr">
        <is>
          <t>상태</t>
        </is>
      </c>
      <c r="F3" s="2" t="inlineStr">
        <is>
          <t>업로드일</t>
        </is>
      </c>
    </row>
    <row r="4">
      <c r="A4" s="3" t="n">
        <v>1</v>
      </c>
      <c r="B4" s="3" t="inlineStr">
        <is>
          <t>98년생 자취생, 순자산 1억 찍었습니다</t>
        </is>
      </c>
      <c r="C4" s="3" t="inlineStr">
        <is>
          <t>서사+정체성+목표 선언</t>
        </is>
      </c>
      <c r="D4" s="3" t="inlineStr">
        <is>
          <t>98년생·자취생·순자산 1억</t>
        </is>
      </c>
      <c r="E4" s="3" t="inlineStr">
        <is>
          <t>기획중</t>
        </is>
      </c>
      <c r="F4" s="3" t="inlineStr"/>
    </row>
    <row r="5">
      <c r="A5" s="3" t="n">
        <v>2</v>
      </c>
      <c r="B5" s="15" t="inlineStr"/>
      <c r="C5" s="15" t="inlineStr"/>
      <c r="D5" s="15" t="inlineStr"/>
      <c r="E5" s="15" t="inlineStr"/>
      <c r="F5" s="15" t="inlineStr"/>
    </row>
    <row r="6">
      <c r="A6" s="3" t="n">
        <v>3</v>
      </c>
      <c r="B6" s="15" t="inlineStr"/>
      <c r="C6" s="15" t="inlineStr"/>
      <c r="D6" s="15" t="inlineStr"/>
      <c r="E6" s="15" t="inlineStr"/>
      <c r="F6" s="15" t="inlineStr"/>
    </row>
    <row r="7">
      <c r="A7" s="3" t="n">
        <v>4</v>
      </c>
      <c r="B7" s="15" t="inlineStr"/>
      <c r="C7" s="15" t="inlineStr"/>
      <c r="D7" s="15" t="inlineStr"/>
      <c r="E7" s="15" t="inlineStr"/>
      <c r="F7" s="15" t="inlineStr"/>
    </row>
    <row r="8">
      <c r="A8" s="3" t="n">
        <v>5</v>
      </c>
      <c r="B8" s="15" t="inlineStr"/>
      <c r="C8" s="15" t="inlineStr"/>
      <c r="D8" s="15" t="inlineStr"/>
      <c r="E8" s="15" t="inlineStr"/>
      <c r="F8" s="15" t="inlineStr"/>
    </row>
    <row r="9">
      <c r="A9" s="3" t="n">
        <v>6</v>
      </c>
      <c r="B9" s="15" t="inlineStr"/>
      <c r="C9" s="15" t="inlineStr"/>
      <c r="D9" s="15" t="inlineStr"/>
      <c r="E9" s="15" t="inlineStr"/>
      <c r="F9" s="15" t="inlineStr"/>
    </row>
    <row r="10">
      <c r="A10" s="3" t="n">
        <v>7</v>
      </c>
      <c r="B10" s="15" t="inlineStr"/>
      <c r="C10" s="15" t="inlineStr"/>
      <c r="D10" s="15" t="inlineStr"/>
      <c r="E10" s="15" t="inlineStr"/>
      <c r="F10" s="15" t="inlineStr"/>
    </row>
    <row r="11">
      <c r="A11" s="3" t="n">
        <v>8</v>
      </c>
      <c r="B11" s="15" t="inlineStr"/>
      <c r="C11" s="15" t="inlineStr"/>
      <c r="D11" s="15" t="inlineStr"/>
      <c r="E11" s="15" t="inlineStr"/>
      <c r="F11" s="15" t="inlineStr"/>
    </row>
    <row r="12">
      <c r="A12" s="3" t="n">
        <v>9</v>
      </c>
      <c r="B12" s="15" t="inlineStr"/>
      <c r="C12" s="15" t="inlineStr"/>
      <c r="D12" s="15" t="inlineStr"/>
      <c r="E12" s="15" t="inlineStr"/>
      <c r="F12" s="15" t="inlineStr"/>
    </row>
    <row r="13">
      <c r="A13" s="3" t="n">
        <v>10</v>
      </c>
      <c r="B13" s="15" t="inlineStr"/>
      <c r="C13" s="15" t="inlineStr"/>
      <c r="D13" s="15" t="inlineStr"/>
      <c r="E13" s="15" t="inlineStr"/>
      <c r="F1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2026-10-03T14:27:58Z</dcterms:created>
  <dcterms:modified xsi:type="dcterms:W3CDTF">2026-10-03T14:27:58Z</dcterms:modified>
</cp:coreProperties>
</file>